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  <sz val="9"/>
    </font>
    <font>
      <name val="Arial"/>
      <color rgb="00000000"/>
      <sz val="9"/>
    </font>
    <font>
      <name val="Arial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D9F2E6"/>
      </patternFill>
    </fill>
    <fill>
      <patternFill patternType="solid">
        <fgColor rgb="00E8F8E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2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20" customWidth="1" min="8" max="8"/>
    <col width="18" customWidth="1" min="9" max="9"/>
    <col width="2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 ht="28" customHeight="1">
      <c r="A1" s="1" t="inlineStr">
        <is>
          <t>MEEZAN BANK &amp; BANKISLAMI — FYP2 PANEL DATASET | Units: PKR '000 | Source: Annual Reports</t>
        </is>
      </c>
    </row>
    <row r="2">
      <c r="A2" s="2" t="inlineStr">
        <is>
          <t>Blue = Raw data input | Black = Auto-calculated ratios | Green = GDP (World Bank) | Light Blue = Meezan | Light Green = BankIslami</t>
        </is>
      </c>
    </row>
    <row r="4" ht="40" customHeight="1">
      <c r="A4" s="3" t="inlineStr">
        <is>
          <t>Bank_Name</t>
        </is>
      </c>
      <c r="B4" s="3" t="inlineStr">
        <is>
          <t>Year</t>
        </is>
      </c>
      <c r="C4" s="3" t="inlineStr">
        <is>
          <t>Net_Income
(PKR '000)</t>
        </is>
      </c>
      <c r="D4" s="3" t="inlineStr">
        <is>
          <t>Total_Assets
(PKR '000)</t>
        </is>
      </c>
      <c r="E4" s="3" t="inlineStr">
        <is>
          <t>Total_Capital
(PKR '000)</t>
        </is>
      </c>
      <c r="F4" s="3" t="inlineStr">
        <is>
          <t>RWA
(PKR '000)</t>
        </is>
      </c>
      <c r="G4" s="3" t="inlineStr">
        <is>
          <t>NPF
(PKR '000)</t>
        </is>
      </c>
      <c r="H4" s="3" t="inlineStr">
        <is>
          <t>Gross_Financing
(PKR '000)</t>
        </is>
      </c>
      <c r="I4" s="3" t="inlineStr">
        <is>
          <t>Operating_Exp
(PKR '000)</t>
        </is>
      </c>
      <c r="J4" s="3" t="inlineStr">
        <is>
          <t>Operating_Income
(PKR '000)</t>
        </is>
      </c>
      <c r="K4" s="3" t="inlineStr">
        <is>
          <t>GDP_Growth
(%)</t>
        </is>
      </c>
      <c r="L4" s="3" t="inlineStr">
        <is>
          <t>ROA
(%)</t>
        </is>
      </c>
      <c r="M4" s="3" t="inlineStr">
        <is>
          <t>CAR
(%)</t>
        </is>
      </c>
      <c r="N4" s="3" t="inlineStr">
        <is>
          <t>NPF_Ratio
(%)</t>
        </is>
      </c>
      <c r="O4" s="3" t="inlineStr">
        <is>
          <t>Cost_Eff
(%)</t>
        </is>
      </c>
    </row>
    <row r="5" ht="18" customHeight="1">
      <c r="A5" s="4" t="inlineStr">
        <is>
          <t>Meezan Bank</t>
        </is>
      </c>
      <c r="B5" s="4" t="n">
        <v>2025</v>
      </c>
      <c r="C5" s="5" t="n">
        <v>89041250</v>
      </c>
      <c r="D5" s="5" t="n">
        <v>4806560919</v>
      </c>
      <c r="E5" s="5" t="n">
        <v>304835439</v>
      </c>
      <c r="F5" s="5" t="n">
        <v>1587984328</v>
      </c>
      <c r="G5" s="5" t="n">
        <v>31000000</v>
      </c>
      <c r="H5" s="5" t="n">
        <v>1686267000</v>
      </c>
      <c r="I5" s="5" t="n">
        <v>82484620</v>
      </c>
      <c r="J5" s="5" t="n">
        <v>285104330</v>
      </c>
      <c r="K5" s="6" t="n">
        <v>3</v>
      </c>
      <c r="L5" s="7">
        <f>IF(AND(C5&lt;&gt;"",D5&lt;&gt;""),C5/D5*100,"")</f>
        <v/>
      </c>
      <c r="M5" s="7">
        <f>IF(AND(E5&lt;&gt;"",F5&lt;&gt;""),E5/F5*100,"")</f>
        <v/>
      </c>
      <c r="N5" s="7">
        <f>IF(AND(G5&lt;&gt;"",H5&lt;&gt;""),G5/H5*100,"")</f>
        <v/>
      </c>
      <c r="O5" s="7">
        <f>IF(AND(I5&lt;&gt;"",J5&lt;&gt;""),I5/J5*100,"")</f>
        <v/>
      </c>
    </row>
    <row r="6" ht="18" customHeight="1">
      <c r="A6" s="4" t="inlineStr">
        <is>
          <t>Meezan Bank</t>
        </is>
      </c>
      <c r="B6" s="4" t="n">
        <v>2024</v>
      </c>
      <c r="C6" s="5" t="n">
        <v>101507524</v>
      </c>
      <c r="D6" s="5" t="n">
        <v>3900511440</v>
      </c>
      <c r="E6" s="5" t="n">
        <v>275939316</v>
      </c>
      <c r="F6" s="5" t="n">
        <v>1355844682</v>
      </c>
      <c r="G6" s="5" t="n">
        <v>26200000</v>
      </c>
      <c r="H6" s="5" t="n">
        <v>1556362000</v>
      </c>
      <c r="I6" s="5" t="n">
        <v>79509599</v>
      </c>
      <c r="J6" s="5" t="n">
        <v>288229105</v>
      </c>
      <c r="K6" s="6" t="n">
        <v>2.38</v>
      </c>
      <c r="L6" s="7">
        <f>IF(AND(C6&lt;&gt;"",D6&lt;&gt;""),C6/D6*100,"")</f>
        <v/>
      </c>
      <c r="M6" s="7">
        <f>IF(AND(E6&lt;&gt;"",F6&lt;&gt;""),E6/F6*100,"")</f>
        <v/>
      </c>
      <c r="N6" s="7">
        <f>IF(AND(G6&lt;&gt;"",H6&lt;&gt;""),G6/H6*100,"")</f>
        <v/>
      </c>
      <c r="O6" s="7">
        <f>IF(AND(I6&lt;&gt;"",J6&lt;&gt;""),I6/J6*100,"")</f>
        <v/>
      </c>
    </row>
    <row r="7" ht="18" customHeight="1">
      <c r="A7" s="4" t="inlineStr">
        <is>
          <t>Meezan Bank</t>
        </is>
      </c>
      <c r="B7" s="4" t="n">
        <v>2023</v>
      </c>
      <c r="C7" s="5" t="n">
        <v>84475642</v>
      </c>
      <c r="D7" s="5" t="n">
        <v>3012108757</v>
      </c>
      <c r="E7" s="5" t="n">
        <v>211239018</v>
      </c>
      <c r="F7" s="5" t="n">
        <v>943643896</v>
      </c>
      <c r="G7" s="5" t="n">
        <v>16939197</v>
      </c>
      <c r="H7" s="5" t="n">
        <v>992027000</v>
      </c>
      <c r="I7" s="5" t="n">
        <v>67876595</v>
      </c>
      <c r="J7" s="5" t="n">
        <v>248535983</v>
      </c>
      <c r="K7" s="6" t="n">
        <v>2.1</v>
      </c>
      <c r="L7" s="7">
        <f>IF(AND(C7&lt;&gt;"",D7&lt;&gt;""),C7/D7*100,"")</f>
        <v/>
      </c>
      <c r="M7" s="7">
        <f>IF(AND(E7&lt;&gt;"",F7&lt;&gt;""),E7/F7*100,"")</f>
        <v/>
      </c>
      <c r="N7" s="7">
        <f>IF(AND(G7&lt;&gt;"",H7&lt;&gt;""),G7/H7*100,"")</f>
        <v/>
      </c>
      <c r="O7" s="7">
        <f>IF(AND(I7&lt;&gt;"",J7&lt;&gt;""),I7/J7*100,"")</f>
        <v/>
      </c>
    </row>
    <row r="8" ht="18" customHeight="1">
      <c r="A8" s="4" t="inlineStr">
        <is>
          <t>Meezan Bank</t>
        </is>
      </c>
      <c r="B8" s="4" t="n">
        <v>2022</v>
      </c>
      <c r="C8" s="5" t="n">
        <v>45006610</v>
      </c>
      <c r="D8" s="5" t="n">
        <v>2577397511</v>
      </c>
      <c r="E8" s="5" t="n">
        <v>141302104</v>
      </c>
      <c r="F8" s="5" t="n">
        <v>767057315</v>
      </c>
      <c r="G8" s="5" t="n">
        <v>13628287</v>
      </c>
      <c r="H8" s="5" t="n">
        <v>1018101757</v>
      </c>
      <c r="I8" s="5" t="n">
        <v>46239831</v>
      </c>
      <c r="J8" s="5" t="n">
        <v>140806814</v>
      </c>
      <c r="K8" s="6" t="n">
        <v>6.1</v>
      </c>
      <c r="L8" s="7">
        <f>IF(AND(C8&lt;&gt;"",D8&lt;&gt;""),C8/D8*100,"")</f>
        <v/>
      </c>
      <c r="M8" s="7">
        <f>IF(AND(E8&lt;&gt;"",F8&lt;&gt;""),E8/F8*100,"")</f>
        <v/>
      </c>
      <c r="N8" s="7">
        <f>IF(AND(G8&lt;&gt;"",H8&lt;&gt;""),G8/H8*100,"")</f>
        <v/>
      </c>
      <c r="O8" s="7">
        <f>IF(AND(I8&lt;&gt;"",J8&lt;&gt;""),I8/J8*100,"")</f>
        <v/>
      </c>
    </row>
    <row r="9" ht="18" customHeight="1">
      <c r="A9" s="4" t="inlineStr">
        <is>
          <t>Meezan Bank</t>
        </is>
      </c>
      <c r="B9" s="4" t="n">
        <v>2021</v>
      </c>
      <c r="C9" s="5" t="n">
        <v>28355157</v>
      </c>
      <c r="D9" s="5" t="n">
        <v>1902971400</v>
      </c>
      <c r="E9" s="5" t="n">
        <v>111803175</v>
      </c>
      <c r="F9" s="5" t="n">
        <v>627873311</v>
      </c>
      <c r="G9" s="5" t="n">
        <v>14449538</v>
      </c>
      <c r="H9" s="5" t="n">
        <v>777295126</v>
      </c>
      <c r="I9" s="5" t="n">
        <v>34356293</v>
      </c>
      <c r="J9" s="5" t="n">
        <v>83812909</v>
      </c>
      <c r="K9" s="6" t="n">
        <v>5.74</v>
      </c>
      <c r="L9" s="7">
        <f>IF(AND(C9&lt;&gt;"",D9&lt;&gt;""),C9/D9*100,"")</f>
        <v/>
      </c>
      <c r="M9" s="7">
        <f>IF(AND(E9&lt;&gt;"",F9&lt;&gt;""),E9/F9*100,"")</f>
        <v/>
      </c>
      <c r="N9" s="7">
        <f>IF(AND(G9&lt;&gt;"",H9&lt;&gt;""),G9/H9*100,"")</f>
        <v/>
      </c>
      <c r="O9" s="7">
        <f>IF(AND(I9&lt;&gt;"",J9&lt;&gt;""),I9/J9*100,"")</f>
        <v/>
      </c>
    </row>
    <row r="10" ht="18" customHeight="1">
      <c r="A10" s="4" t="inlineStr">
        <is>
          <t>Meezan Bank</t>
        </is>
      </c>
      <c r="B10" s="4" t="n">
        <v>2020</v>
      </c>
      <c r="C10" s="5" t="n">
        <v>22165606</v>
      </c>
      <c r="D10" s="5" t="n">
        <v>1521559463</v>
      </c>
      <c r="E10" s="5" t="n">
        <v>90832629</v>
      </c>
      <c r="F10" s="5" t="n">
        <v>509619379</v>
      </c>
      <c r="G10" s="5" t="n">
        <v>14933473</v>
      </c>
      <c r="H10" s="5" t="n">
        <v>531587615</v>
      </c>
      <c r="I10" s="5" t="n">
        <v>28808560</v>
      </c>
      <c r="J10" s="5" t="n">
        <v>74920780</v>
      </c>
      <c r="K10" s="6" t="n">
        <v>-0.9399999999999999</v>
      </c>
      <c r="L10" s="7">
        <f>IF(AND(C10&lt;&gt;"",D10&lt;&gt;""),C10/D10*100,"")</f>
        <v/>
      </c>
      <c r="M10" s="7">
        <f>IF(AND(E10&lt;&gt;"",F10&lt;&gt;""),E10/F10*100,"")</f>
        <v/>
      </c>
      <c r="N10" s="7">
        <f>IF(AND(G10&lt;&gt;"",H10&lt;&gt;""),G10/H10*100,"")</f>
        <v/>
      </c>
      <c r="O10" s="7">
        <f>IF(AND(I10&lt;&gt;"",J10&lt;&gt;""),I10/J10*100,"")</f>
        <v/>
      </c>
    </row>
    <row r="11" ht="18" customHeight="1">
      <c r="A11" s="4" t="inlineStr">
        <is>
          <t>Meezan Bank</t>
        </is>
      </c>
      <c r="B11" s="4" t="n">
        <v>2019</v>
      </c>
      <c r="C11" s="5" t="n">
        <v>15232074</v>
      </c>
      <c r="D11" s="5" t="n">
        <v>1121258254</v>
      </c>
      <c r="E11" s="5" t="n">
        <v>75456958</v>
      </c>
      <c r="F11" s="5" t="n">
        <v>439396783</v>
      </c>
      <c r="G11" s="5" t="n">
        <v>8995719</v>
      </c>
      <c r="H11" s="5" t="n">
        <v>506512576</v>
      </c>
      <c r="I11" s="5" t="n">
        <v>24830659</v>
      </c>
      <c r="J11" s="5" t="n">
        <v>55859567</v>
      </c>
      <c r="K11" s="6" t="n">
        <v>1.9</v>
      </c>
      <c r="L11" s="7">
        <f>IF(AND(C11&lt;&gt;"",D11&lt;&gt;""),C11/D11*100,"")</f>
        <v/>
      </c>
      <c r="M11" s="7">
        <f>IF(AND(E11&lt;&gt;"",F11&lt;&gt;""),E11/F11*100,"")</f>
        <v/>
      </c>
      <c r="N11" s="7">
        <f>IF(AND(G11&lt;&gt;"",H11&lt;&gt;""),G11/H11*100,"")</f>
        <v/>
      </c>
      <c r="O11" s="7">
        <f>IF(AND(I11&lt;&gt;"",J11&lt;&gt;""),I11/J11*100,"")</f>
        <v/>
      </c>
    </row>
    <row r="12" ht="18" customHeight="1">
      <c r="A12" s="4" t="inlineStr">
        <is>
          <t>Meezan Bank</t>
        </is>
      </c>
      <c r="B12" s="4" t="n">
        <v>2018</v>
      </c>
      <c r="C12" s="5" t="n">
        <v>8962200</v>
      </c>
      <c r="D12" s="5" t="n">
        <v>937915405</v>
      </c>
      <c r="E12" s="5" t="n">
        <v>56507910</v>
      </c>
      <c r="F12" s="5" t="n">
        <v>388400658</v>
      </c>
      <c r="G12" s="5" t="n">
        <v>6907571</v>
      </c>
      <c r="H12" s="5" t="n">
        <v>522263763</v>
      </c>
      <c r="I12" s="5" t="n">
        <v>19290136</v>
      </c>
      <c r="J12" s="5" t="n">
        <v>35630013</v>
      </c>
      <c r="K12" s="6" t="n">
        <v>5.84</v>
      </c>
      <c r="L12" s="7">
        <f>IF(AND(C12&lt;&gt;"",D12&lt;&gt;""),C12/D12*100,"")</f>
        <v/>
      </c>
      <c r="M12" s="7">
        <f>IF(AND(E12&lt;&gt;"",F12&lt;&gt;""),E12/F12*100,"")</f>
        <v/>
      </c>
      <c r="N12" s="7">
        <f>IF(AND(G12&lt;&gt;"",H12&lt;&gt;""),G12/H12*100,"")</f>
        <v/>
      </c>
      <c r="O12" s="7">
        <f>IF(AND(I12&lt;&gt;"",J12&lt;&gt;""),I12/J12*100,"")</f>
        <v/>
      </c>
    </row>
    <row r="13" ht="18" customHeight="1">
      <c r="A13" s="4" t="inlineStr">
        <is>
          <t>Meezan Bank</t>
        </is>
      </c>
      <c r="B13" s="4" t="n">
        <v>2017</v>
      </c>
      <c r="C13" s="5" t="n">
        <v>6312767</v>
      </c>
      <c r="D13" s="5" t="n">
        <v>788808000</v>
      </c>
      <c r="E13" s="5" t="n">
        <v>43602792</v>
      </c>
      <c r="F13" s="5" t="n">
        <v>338290684</v>
      </c>
      <c r="G13" s="5" t="n">
        <v>6830274</v>
      </c>
      <c r="H13" s="5" t="n">
        <v>428833530</v>
      </c>
      <c r="I13" s="5" t="n">
        <v>16579977</v>
      </c>
      <c r="J13" s="5" t="n">
        <v>27070664</v>
      </c>
      <c r="K13" s="6" t="n">
        <v>5.37</v>
      </c>
      <c r="L13" s="7">
        <f>IF(AND(C13&lt;&gt;"",D13&lt;&gt;""),C13/D13*100,"")</f>
        <v/>
      </c>
      <c r="M13" s="7">
        <f>IF(AND(E13&lt;&gt;"",F13&lt;&gt;""),E13/F13*100,"")</f>
        <v/>
      </c>
      <c r="N13" s="7">
        <f>IF(AND(G13&lt;&gt;"",H13&lt;&gt;""),G13/H13*100,"")</f>
        <v/>
      </c>
      <c r="O13" s="7">
        <f>IF(AND(I13&lt;&gt;"",J13&lt;&gt;""),I13/J13*100,"")</f>
        <v/>
      </c>
    </row>
    <row r="14" ht="18" customHeight="1">
      <c r="A14" s="4" t="inlineStr">
        <is>
          <t>Meezan Bank</t>
        </is>
      </c>
      <c r="B14" s="4" t="n">
        <v>2016</v>
      </c>
      <c r="C14" s="5" t="n">
        <v>5561611</v>
      </c>
      <c r="D14" s="5" t="n">
        <v>657767097</v>
      </c>
      <c r="E14" s="5" t="n">
        <v>37781007</v>
      </c>
      <c r="F14" s="5" t="n">
        <v>292717139</v>
      </c>
      <c r="G14" s="5" t="n">
        <v>6851872</v>
      </c>
      <c r="H14" s="5" t="n">
        <v>311530270</v>
      </c>
      <c r="I14" s="5" t="n">
        <v>15488411</v>
      </c>
      <c r="J14" s="5" t="n">
        <v>24538890</v>
      </c>
      <c r="K14" s="6" t="n">
        <v>4.57</v>
      </c>
      <c r="L14" s="7">
        <f>IF(AND(C14&lt;&gt;"",D14&lt;&gt;""),C14/D14*100,"")</f>
        <v/>
      </c>
      <c r="M14" s="7">
        <f>IF(AND(E14&lt;&gt;"",F14&lt;&gt;""),E14/F14*100,"")</f>
        <v/>
      </c>
      <c r="N14" s="7">
        <f>IF(AND(G14&lt;&gt;"",H14&lt;&gt;""),G14/H14*100,"")</f>
        <v/>
      </c>
      <c r="O14" s="7">
        <f>IF(AND(I14&lt;&gt;"",J14&lt;&gt;""),I14/J14*100,"")</f>
        <v/>
      </c>
    </row>
    <row r="15" ht="18" customHeight="1">
      <c r="A15" s="4" t="inlineStr">
        <is>
          <t>Meezan Bank</t>
        </is>
      </c>
      <c r="B15" s="4" t="n">
        <v>2015</v>
      </c>
      <c r="C15" s="5" t="n">
        <v>5022509</v>
      </c>
      <c r="D15" s="5" t="n">
        <v>531849934</v>
      </c>
      <c r="E15" s="5" t="n">
        <v>26636777</v>
      </c>
      <c r="F15" s="5" t="n">
        <v>242653197</v>
      </c>
      <c r="G15" s="5" t="n">
        <v>7062838</v>
      </c>
      <c r="H15" s="5" t="n">
        <v>207568823</v>
      </c>
      <c r="I15" s="5" t="n">
        <v>13560648</v>
      </c>
      <c r="J15" s="5" t="n">
        <v>22250138</v>
      </c>
      <c r="K15" s="6" t="n">
        <v>4.07</v>
      </c>
      <c r="L15" s="7">
        <f>IF(AND(C15&lt;&gt;"",D15&lt;&gt;""),C15/D15*100,"")</f>
        <v/>
      </c>
      <c r="M15" s="7">
        <f>IF(AND(E15&lt;&gt;"",F15&lt;&gt;""),E15/F15*100,"")</f>
        <v/>
      </c>
      <c r="N15" s="7">
        <f>IF(AND(G15&lt;&gt;"",H15&lt;&gt;""),G15/H15*100,"")</f>
        <v/>
      </c>
      <c r="O15" s="7">
        <f>IF(AND(I15&lt;&gt;"",J15&lt;&gt;""),I15/J15*100,"")</f>
        <v/>
      </c>
    </row>
    <row r="16" ht="18" customHeight="1">
      <c r="A16" s="4" t="inlineStr">
        <is>
          <t>Meezan Bank</t>
        </is>
      </c>
      <c r="B16" s="4" t="n">
        <v>2014</v>
      </c>
      <c r="C16" s="5" t="n">
        <v>4570086</v>
      </c>
      <c r="D16" s="5" t="n">
        <v>437405958</v>
      </c>
      <c r="E16" s="5" t="n">
        <v>23931964</v>
      </c>
      <c r="F16" s="5" t="n">
        <v>201442257</v>
      </c>
      <c r="G16" s="5" t="n">
        <v>6902518</v>
      </c>
      <c r="H16" s="5" t="n">
        <v>183285548</v>
      </c>
      <c r="I16" s="5" t="n">
        <v>10459934</v>
      </c>
      <c r="J16" s="5" t="n">
        <v>17651189</v>
      </c>
      <c r="K16" s="6" t="n">
        <v>4.05</v>
      </c>
      <c r="L16" s="7">
        <f>IF(AND(C16&lt;&gt;"",D16&lt;&gt;""),C16/D16*100,"")</f>
        <v/>
      </c>
      <c r="M16" s="7">
        <f>IF(AND(E16&lt;&gt;"",F16&lt;&gt;""),E16/F16*100,"")</f>
        <v/>
      </c>
      <c r="N16" s="7">
        <f>IF(AND(G16&lt;&gt;"",H16&lt;&gt;""),G16/H16*100,"")</f>
        <v/>
      </c>
      <c r="O16" s="7">
        <f>IF(AND(I16&lt;&gt;"",J16&lt;&gt;""),I16/J16*100,"")</f>
        <v/>
      </c>
    </row>
    <row r="17" ht="18" customHeight="1">
      <c r="A17" s="4" t="inlineStr">
        <is>
          <t>Meezan Bank</t>
        </is>
      </c>
      <c r="B17" s="4" t="n">
        <v>2013</v>
      </c>
      <c r="C17" s="5" t="n">
        <v>3956776</v>
      </c>
      <c r="D17" s="5" t="n">
        <v>329724631</v>
      </c>
      <c r="E17" s="5" t="n">
        <v>19260666</v>
      </c>
      <c r="F17" s="5" t="n">
        <v>154316558</v>
      </c>
      <c r="G17" s="5" t="n">
        <v>4835079</v>
      </c>
      <c r="H17" s="5" t="n">
        <v>133474709</v>
      </c>
      <c r="I17" s="5" t="n">
        <v>8403862</v>
      </c>
      <c r="J17" s="5" t="n">
        <v>14052917</v>
      </c>
      <c r="K17" s="6" t="n">
        <v>3.66</v>
      </c>
      <c r="L17" s="7">
        <f>IF(AND(C17&lt;&gt;"",D17&lt;&gt;""),C17/D17*100,"")</f>
        <v/>
      </c>
      <c r="M17" s="7">
        <f>IF(AND(E17&lt;&gt;"",F17&lt;&gt;""),E17/F17*100,"")</f>
        <v/>
      </c>
      <c r="N17" s="7">
        <f>IF(AND(G17&lt;&gt;"",H17&lt;&gt;""),G17/H17*100,"")</f>
        <v/>
      </c>
      <c r="O17" s="7">
        <f>IF(AND(I17&lt;&gt;"",J17&lt;&gt;""),I17/J17*100,"")</f>
        <v/>
      </c>
    </row>
    <row r="18" ht="18" customHeight="1">
      <c r="A18" s="4" t="inlineStr">
        <is>
          <t>Meezan Bank</t>
        </is>
      </c>
      <c r="B18" s="4" t="n">
        <v>2012</v>
      </c>
      <c r="C18" s="5" t="n">
        <v>3508116</v>
      </c>
      <c r="D18" s="5" t="n">
        <v>274436510</v>
      </c>
      <c r="E18" s="5" t="n">
        <v>16949724</v>
      </c>
      <c r="F18" s="5" t="n">
        <v>120382715</v>
      </c>
      <c r="G18" s="5" t="n">
        <v>5000028</v>
      </c>
      <c r="H18" s="5" t="n">
        <v>94402267</v>
      </c>
      <c r="I18" s="5" t="n">
        <v>7192527</v>
      </c>
      <c r="J18" s="5" t="n">
        <v>12399837</v>
      </c>
      <c r="K18" s="6" t="n">
        <v>3.84</v>
      </c>
      <c r="L18" s="7">
        <f>IF(AND(C18&lt;&gt;"",D18&lt;&gt;""),C18/D18*100,"")</f>
        <v/>
      </c>
      <c r="M18" s="7">
        <f>IF(AND(E18&lt;&gt;"",F18&lt;&gt;""),E18/F18*100,"")</f>
        <v/>
      </c>
      <c r="N18" s="7">
        <f>IF(AND(G18&lt;&gt;"",H18&lt;&gt;""),G18/H18*100,"")</f>
        <v/>
      </c>
      <c r="O18" s="7">
        <f>IF(AND(I18&lt;&gt;"",J18&lt;&gt;""),I18/J18*100,"")</f>
        <v/>
      </c>
    </row>
    <row r="19" ht="18" customHeight="1">
      <c r="A19" s="4" t="inlineStr">
        <is>
          <t>Meezan Bank</t>
        </is>
      </c>
      <c r="B19" s="4" t="n">
        <v>2011</v>
      </c>
      <c r="C19" s="5" t="n">
        <v>3391543</v>
      </c>
      <c r="D19" s="5" t="n">
        <v>200550394</v>
      </c>
      <c r="E19" s="5" t="n">
        <v>14426061</v>
      </c>
      <c r="F19" s="5" t="n">
        <v>96905139</v>
      </c>
      <c r="G19" s="5" t="n">
        <v>4647792</v>
      </c>
      <c r="H19" s="5" t="n">
        <v>59155585</v>
      </c>
      <c r="I19" s="5" t="n">
        <v>5958595</v>
      </c>
      <c r="J19" s="5" t="n">
        <v>10482130</v>
      </c>
      <c r="K19" s="6" t="n">
        <v>2.82</v>
      </c>
      <c r="L19" s="7">
        <f>IF(AND(C19&lt;&gt;"",D19&lt;&gt;""),C19/D19*100,"")</f>
        <v/>
      </c>
      <c r="M19" s="7">
        <f>IF(AND(E19&lt;&gt;"",F19&lt;&gt;""),E19/F19*100,"")</f>
        <v/>
      </c>
      <c r="N19" s="7">
        <f>IF(AND(G19&lt;&gt;"",H19&lt;&gt;""),G19/H19*100,"")</f>
        <v/>
      </c>
      <c r="O19" s="7">
        <f>IF(AND(I19&lt;&gt;"",J19&lt;&gt;""),I19/J19*100,"")</f>
        <v/>
      </c>
    </row>
    <row r="20" ht="18" customHeight="1">
      <c r="A20" s="4" t="inlineStr">
        <is>
          <t>Meezan Bank</t>
        </is>
      </c>
      <c r="B20" s="4" t="n">
        <v>2010</v>
      </c>
      <c r="C20" s="5" t="n">
        <v>1649588</v>
      </c>
      <c r="D20" s="5" t="n">
        <v>154752425</v>
      </c>
      <c r="E20" s="5" t="n">
        <v>11436979</v>
      </c>
      <c r="F20" s="5" t="n">
        <v>92127424</v>
      </c>
      <c r="G20" s="5" t="n">
        <v>4318323</v>
      </c>
      <c r="H20" s="5" t="n">
        <v>54195163</v>
      </c>
      <c r="I20" s="5" t="n">
        <v>4460804</v>
      </c>
      <c r="J20" s="5" t="n">
        <v>6662629</v>
      </c>
      <c r="K20" s="6" t="n">
        <v>2.58</v>
      </c>
      <c r="L20" s="7">
        <f>IF(AND(C20&lt;&gt;"",D20&lt;&gt;""),C20/D20*100,"")</f>
        <v/>
      </c>
      <c r="M20" s="7">
        <f>IF(AND(E20&lt;&gt;"",F20&lt;&gt;""),E20/F20*100,"")</f>
        <v/>
      </c>
      <c r="N20" s="7">
        <f>IF(AND(G20&lt;&gt;"",H20&lt;&gt;""),G20/H20*100,"")</f>
        <v/>
      </c>
      <c r="O20" s="7">
        <f>IF(AND(I20&lt;&gt;"",J20&lt;&gt;""),I20/J20*100,"")</f>
        <v/>
      </c>
    </row>
    <row r="21" ht="18" customHeight="1">
      <c r="A21" s="8" t="inlineStr">
        <is>
          <t>BankIslami</t>
        </is>
      </c>
      <c r="B21" s="8" t="n">
        <v>2025</v>
      </c>
      <c r="C21" s="9" t="n">
        <v>6002782</v>
      </c>
      <c r="D21" s="9" t="n">
        <v>771342878</v>
      </c>
      <c r="E21" s="9" t="n">
        <v>49008272</v>
      </c>
      <c r="F21" s="9" t="n">
        <v>296118287</v>
      </c>
      <c r="G21" s="9" t="n">
        <v>16922520</v>
      </c>
      <c r="H21" s="9" t="n">
        <v>317143091</v>
      </c>
      <c r="I21" s="9" t="n">
        <v>31427228</v>
      </c>
      <c r="J21" s="9" t="n">
        <v>45165817</v>
      </c>
      <c r="K21" s="10" t="n">
        <v>3</v>
      </c>
      <c r="L21" s="7">
        <f>IF(AND(C21&lt;&gt;"",D21&lt;&gt;""),C21/D21*100,"")</f>
        <v/>
      </c>
      <c r="M21" s="7">
        <f>IF(AND(E21&lt;&gt;"",F21&lt;&gt;""),E21/F21*100,"")</f>
        <v/>
      </c>
      <c r="N21" s="7">
        <f>IF(AND(G21&lt;&gt;"",H21&lt;&gt;""),G21/H21*100,"")</f>
        <v/>
      </c>
      <c r="O21" s="7">
        <f>IF(AND(I21&lt;&gt;"",J21&lt;&gt;""),I21/J21*100,"")</f>
        <v/>
      </c>
    </row>
    <row r="22" ht="18" customHeight="1">
      <c r="A22" s="8" t="inlineStr">
        <is>
          <t>BankIslami</t>
        </is>
      </c>
      <c r="B22" s="8" t="n">
        <v>2024</v>
      </c>
      <c r="C22" s="9" t="n">
        <v>11833541</v>
      </c>
      <c r="D22" s="9" t="n">
        <v>737834025</v>
      </c>
      <c r="E22" s="9" t="n">
        <v>53963911</v>
      </c>
      <c r="F22" s="9" t="n">
        <v>223828293</v>
      </c>
      <c r="G22" s="9" t="n">
        <v>19037947</v>
      </c>
      <c r="H22" s="9" t="n">
        <v>321955999</v>
      </c>
      <c r="I22" s="9" t="n">
        <v>22159072</v>
      </c>
      <c r="J22" s="9" t="n">
        <v>50977162</v>
      </c>
      <c r="K22" s="10" t="n">
        <v>2.38</v>
      </c>
      <c r="L22" s="7">
        <f>IF(AND(C22&lt;&gt;"",D22&lt;&gt;""),C22/D22*100,"")</f>
        <v/>
      </c>
      <c r="M22" s="7">
        <f>IF(AND(E22&lt;&gt;"",F22&lt;&gt;""),E22/F22*100,"")</f>
        <v/>
      </c>
      <c r="N22" s="7">
        <f>IF(AND(G22&lt;&gt;"",H22&lt;&gt;""),G22/H22*100,"")</f>
        <v/>
      </c>
      <c r="O22" s="7">
        <f>IF(AND(I22&lt;&gt;"",J22&lt;&gt;""),I22/J22*100,"")</f>
        <v/>
      </c>
    </row>
    <row r="23" ht="18" customHeight="1">
      <c r="A23" s="8" t="inlineStr">
        <is>
          <t>BankIslami</t>
        </is>
      </c>
      <c r="B23" s="8" t="n">
        <v>2023</v>
      </c>
      <c r="C23" s="9" t="n">
        <v>11045099</v>
      </c>
      <c r="D23" s="9" t="n">
        <v>654865896</v>
      </c>
      <c r="E23" s="9" t="n">
        <v>41953871</v>
      </c>
      <c r="F23" s="9" t="n">
        <v>176382144</v>
      </c>
      <c r="G23" s="9" t="n">
        <v>22890642</v>
      </c>
      <c r="H23" s="9" t="n">
        <v>248358518</v>
      </c>
      <c r="I23" s="9" t="n">
        <v>16159656</v>
      </c>
      <c r="J23" s="9" t="n">
        <v>43494329</v>
      </c>
      <c r="K23" s="10" t="n">
        <v>2.1</v>
      </c>
      <c r="L23" s="7">
        <f>IF(AND(C23&lt;&gt;"",D23&lt;&gt;""),C23/D23*100,"")</f>
        <v/>
      </c>
      <c r="M23" s="7">
        <f>IF(AND(E23&lt;&gt;"",F23&lt;&gt;""),E23/F23*100,"")</f>
        <v/>
      </c>
      <c r="N23" s="7">
        <f>IF(AND(G23&lt;&gt;"",H23&lt;&gt;""),G23/H23*100,"")</f>
        <v/>
      </c>
      <c r="O23" s="7">
        <f>IF(AND(I23&lt;&gt;"",J23&lt;&gt;""),I23/J23*100,"")</f>
        <v/>
      </c>
    </row>
    <row r="24" ht="18" customHeight="1">
      <c r="A24" s="8" t="inlineStr">
        <is>
          <t>BankIslami</t>
        </is>
      </c>
      <c r="B24" s="8" t="n">
        <v>2022</v>
      </c>
      <c r="C24" s="9" t="n">
        <v>4439635</v>
      </c>
      <c r="D24" s="9" t="n">
        <v>487239112</v>
      </c>
      <c r="E24" s="9" t="n">
        <v>29501483</v>
      </c>
      <c r="F24" s="9" t="n">
        <v>164612516</v>
      </c>
      <c r="G24" s="9" t="n">
        <v>19872534</v>
      </c>
      <c r="H24" s="9" t="n">
        <v>214461891</v>
      </c>
      <c r="I24" s="9" t="n">
        <v>11773169</v>
      </c>
      <c r="J24" s="9" t="n">
        <v>24001221</v>
      </c>
      <c r="K24" s="10" t="n">
        <v>6.1</v>
      </c>
      <c r="L24" s="7">
        <f>IF(AND(C24&lt;&gt;"",D24&lt;&gt;""),C24/D24*100,"")</f>
        <v/>
      </c>
      <c r="M24" s="7">
        <f>IF(AND(E24&lt;&gt;"",F24&lt;&gt;""),E24/F24*100,"")</f>
        <v/>
      </c>
      <c r="N24" s="7">
        <f>IF(AND(G24&lt;&gt;"",H24&lt;&gt;""),G24/H24*100,"")</f>
        <v/>
      </c>
      <c r="O24" s="7">
        <f>IF(AND(I24&lt;&gt;"",J24&lt;&gt;""),I24/J24*100,"")</f>
        <v/>
      </c>
    </row>
    <row r="25" ht="18" customHeight="1">
      <c r="A25" s="8" t="inlineStr">
        <is>
          <t>BankIslami</t>
        </is>
      </c>
      <c r="B25" s="8" t="n">
        <v>2021</v>
      </c>
      <c r="C25" s="9" t="n">
        <v>2131350</v>
      </c>
      <c r="D25" s="9" t="n">
        <v>408390174</v>
      </c>
      <c r="E25" s="9" t="n">
        <v>20301492</v>
      </c>
      <c r="F25" s="9" t="n">
        <v>143488085</v>
      </c>
      <c r="G25" s="9" t="n">
        <v>17076678</v>
      </c>
      <c r="H25" s="9" t="n">
        <v>190191273</v>
      </c>
      <c r="I25" s="9" t="n">
        <v>9549614</v>
      </c>
      <c r="J25" s="9" t="n">
        <v>13051626</v>
      </c>
      <c r="K25" s="10" t="n">
        <v>5.74</v>
      </c>
      <c r="L25" s="7">
        <f>IF(AND(C25&lt;&gt;"",D25&lt;&gt;""),C25/D25*100,"")</f>
        <v/>
      </c>
      <c r="M25" s="7">
        <f>IF(AND(E25&lt;&gt;"",F25&lt;&gt;""),E25/F25*100,"")</f>
        <v/>
      </c>
      <c r="N25" s="7">
        <f>IF(AND(G25&lt;&gt;"",H25&lt;&gt;""),G25/H25*100,"")</f>
        <v/>
      </c>
      <c r="O25" s="7">
        <f>IF(AND(I25&lt;&gt;"",J25&lt;&gt;""),I25/J25*100,"")</f>
        <v/>
      </c>
    </row>
    <row r="26" ht="18" customHeight="1">
      <c r="A26" s="11" t="inlineStr">
        <is>
          <t>BankIslami</t>
        </is>
      </c>
      <c r="B26" s="11" t="n">
        <v>2020</v>
      </c>
      <c r="C26" s="12" t="inlineStr">
        <is>
          <t>← Upload annual report</t>
        </is>
      </c>
      <c r="D26" s="12" t="inlineStr">
        <is>
          <t>← Upload annual report</t>
        </is>
      </c>
      <c r="E26" s="12" t="inlineStr">
        <is>
          <t>← Upload annual report</t>
        </is>
      </c>
      <c r="F26" s="12" t="inlineStr">
        <is>
          <t>← Upload annual report</t>
        </is>
      </c>
      <c r="G26" s="12" t="inlineStr">
        <is>
          <t>← Upload annual report</t>
        </is>
      </c>
      <c r="H26" s="12" t="inlineStr">
        <is>
          <t>← Upload annual report</t>
        </is>
      </c>
      <c r="I26" s="12" t="inlineStr">
        <is>
          <t>← Upload annual report</t>
        </is>
      </c>
      <c r="J26" s="12" t="inlineStr">
        <is>
          <t>← Upload annual report</t>
        </is>
      </c>
      <c r="K26" s="13" t="n">
        <v>-0.9399999999999999</v>
      </c>
      <c r="L26" s="7">
        <f>IF(AND(C26&lt;&gt;"",D26&lt;&gt;""),C26/D26*100,"")</f>
        <v/>
      </c>
      <c r="M26" s="7">
        <f>IF(AND(E26&lt;&gt;"",F26&lt;&gt;""),E26/F26*100,"")</f>
        <v/>
      </c>
      <c r="N26" s="7">
        <f>IF(AND(G26&lt;&gt;"",H26&lt;&gt;""),G26/H26*100,"")</f>
        <v/>
      </c>
      <c r="O26" s="7">
        <f>IF(AND(I26&lt;&gt;"",J26&lt;&gt;""),I26/J26*100,"")</f>
        <v/>
      </c>
    </row>
    <row r="27" ht="18" customHeight="1">
      <c r="A27" s="11" t="inlineStr">
        <is>
          <t>BankIslami</t>
        </is>
      </c>
      <c r="B27" s="11" t="n">
        <v>2019</v>
      </c>
      <c r="C27" s="12" t="inlineStr">
        <is>
          <t>← Upload annual report</t>
        </is>
      </c>
      <c r="D27" s="12" t="inlineStr">
        <is>
          <t>← Upload annual report</t>
        </is>
      </c>
      <c r="E27" s="12" t="inlineStr">
        <is>
          <t>← Upload annual report</t>
        </is>
      </c>
      <c r="F27" s="12" t="inlineStr">
        <is>
          <t>← Upload annual report</t>
        </is>
      </c>
      <c r="G27" s="12" t="inlineStr">
        <is>
          <t>← Upload annual report</t>
        </is>
      </c>
      <c r="H27" s="12" t="inlineStr">
        <is>
          <t>← Upload annual report</t>
        </is>
      </c>
      <c r="I27" s="12" t="inlineStr">
        <is>
          <t>← Upload annual report</t>
        </is>
      </c>
      <c r="J27" s="12" t="inlineStr">
        <is>
          <t>← Upload annual report</t>
        </is>
      </c>
      <c r="K27" s="13" t="n">
        <v>1.9</v>
      </c>
      <c r="L27" s="7">
        <f>IF(AND(C27&lt;&gt;"",D27&lt;&gt;""),C27/D27*100,"")</f>
        <v/>
      </c>
      <c r="M27" s="7">
        <f>IF(AND(E27&lt;&gt;"",F27&lt;&gt;""),E27/F27*100,"")</f>
        <v/>
      </c>
      <c r="N27" s="7">
        <f>IF(AND(G27&lt;&gt;"",H27&lt;&gt;""),G27/H27*100,"")</f>
        <v/>
      </c>
      <c r="O27" s="7">
        <f>IF(AND(I27&lt;&gt;"",J27&lt;&gt;""),I27/J27*100,"")</f>
        <v/>
      </c>
    </row>
    <row r="28" ht="18" customHeight="1">
      <c r="A28" s="11" t="inlineStr">
        <is>
          <t>BankIslami</t>
        </is>
      </c>
      <c r="B28" s="11" t="n">
        <v>2018</v>
      </c>
      <c r="C28" s="12" t="inlineStr">
        <is>
          <t>← Upload annual report</t>
        </is>
      </c>
      <c r="D28" s="12" t="inlineStr">
        <is>
          <t>← Upload annual report</t>
        </is>
      </c>
      <c r="E28" s="12" t="inlineStr">
        <is>
          <t>← Upload annual report</t>
        </is>
      </c>
      <c r="F28" s="12" t="inlineStr">
        <is>
          <t>← Upload annual report</t>
        </is>
      </c>
      <c r="G28" s="12" t="inlineStr">
        <is>
          <t>← Upload annual report</t>
        </is>
      </c>
      <c r="H28" s="12" t="inlineStr">
        <is>
          <t>← Upload annual report</t>
        </is>
      </c>
      <c r="I28" s="12" t="inlineStr">
        <is>
          <t>← Upload annual report</t>
        </is>
      </c>
      <c r="J28" s="12" t="inlineStr">
        <is>
          <t>← Upload annual report</t>
        </is>
      </c>
      <c r="K28" s="13" t="n">
        <v>5.84</v>
      </c>
      <c r="L28" s="7">
        <f>IF(AND(C28&lt;&gt;"",D28&lt;&gt;""),C28/D28*100,"")</f>
        <v/>
      </c>
      <c r="M28" s="7">
        <f>IF(AND(E28&lt;&gt;"",F28&lt;&gt;""),E28/F28*100,"")</f>
        <v/>
      </c>
      <c r="N28" s="7">
        <f>IF(AND(G28&lt;&gt;"",H28&lt;&gt;""),G28/H28*100,"")</f>
        <v/>
      </c>
      <c r="O28" s="7">
        <f>IF(AND(I28&lt;&gt;"",J28&lt;&gt;""),I28/J28*100,"")</f>
        <v/>
      </c>
    </row>
    <row r="29" ht="18" customHeight="1">
      <c r="A29" s="11" t="inlineStr">
        <is>
          <t>BankIslami</t>
        </is>
      </c>
      <c r="B29" s="11" t="n">
        <v>2017</v>
      </c>
      <c r="C29" s="12" t="inlineStr">
        <is>
          <t>← Upload annual report</t>
        </is>
      </c>
      <c r="D29" s="12" t="inlineStr">
        <is>
          <t>← Upload annual report</t>
        </is>
      </c>
      <c r="E29" s="12" t="inlineStr">
        <is>
          <t>← Upload annual report</t>
        </is>
      </c>
      <c r="F29" s="12" t="inlineStr">
        <is>
          <t>← Upload annual report</t>
        </is>
      </c>
      <c r="G29" s="12" t="inlineStr">
        <is>
          <t>← Upload annual report</t>
        </is>
      </c>
      <c r="H29" s="12" t="inlineStr">
        <is>
          <t>← Upload annual report</t>
        </is>
      </c>
      <c r="I29" s="12" t="inlineStr">
        <is>
          <t>← Upload annual report</t>
        </is>
      </c>
      <c r="J29" s="12" t="inlineStr">
        <is>
          <t>← Upload annual report</t>
        </is>
      </c>
      <c r="K29" s="13" t="n">
        <v>5.37</v>
      </c>
      <c r="L29" s="7">
        <f>IF(AND(C29&lt;&gt;"",D29&lt;&gt;""),C29/D29*100,"")</f>
        <v/>
      </c>
      <c r="M29" s="7">
        <f>IF(AND(E29&lt;&gt;"",F29&lt;&gt;""),E29/F29*100,"")</f>
        <v/>
      </c>
      <c r="N29" s="7">
        <f>IF(AND(G29&lt;&gt;"",H29&lt;&gt;""),G29/H29*100,"")</f>
        <v/>
      </c>
      <c r="O29" s="7">
        <f>IF(AND(I29&lt;&gt;"",J29&lt;&gt;""),I29/J29*100,"")</f>
        <v/>
      </c>
    </row>
    <row r="30" ht="18" customHeight="1">
      <c r="A30" s="11" t="inlineStr">
        <is>
          <t>BankIslami</t>
        </is>
      </c>
      <c r="B30" s="11" t="n">
        <v>2016</v>
      </c>
      <c r="C30" s="12" t="inlineStr">
        <is>
          <t>← Upload annual report</t>
        </is>
      </c>
      <c r="D30" s="12" t="inlineStr">
        <is>
          <t>← Upload annual report</t>
        </is>
      </c>
      <c r="E30" s="12" t="inlineStr">
        <is>
          <t>← Upload annual report</t>
        </is>
      </c>
      <c r="F30" s="12" t="inlineStr">
        <is>
          <t>← Upload annual report</t>
        </is>
      </c>
      <c r="G30" s="12" t="inlineStr">
        <is>
          <t>← Upload annual report</t>
        </is>
      </c>
      <c r="H30" s="12" t="inlineStr">
        <is>
          <t>← Upload annual report</t>
        </is>
      </c>
      <c r="I30" s="12" t="inlineStr">
        <is>
          <t>← Upload annual report</t>
        </is>
      </c>
      <c r="J30" s="12" t="inlineStr">
        <is>
          <t>← Upload annual report</t>
        </is>
      </c>
      <c r="K30" s="13" t="n">
        <v>4.57</v>
      </c>
      <c r="L30" s="7">
        <f>IF(AND(C30&lt;&gt;"",D30&lt;&gt;""),C30/D30*100,"")</f>
        <v/>
      </c>
      <c r="M30" s="7">
        <f>IF(AND(E30&lt;&gt;"",F30&lt;&gt;""),E30/F30*100,"")</f>
        <v/>
      </c>
      <c r="N30" s="7">
        <f>IF(AND(G30&lt;&gt;"",H30&lt;&gt;""),G30/H30*100,"")</f>
        <v/>
      </c>
      <c r="O30" s="7">
        <f>IF(AND(I30&lt;&gt;"",J30&lt;&gt;""),I30/J30*100,"")</f>
        <v/>
      </c>
    </row>
    <row r="31" ht="18" customHeight="1">
      <c r="A31" s="11" t="inlineStr">
        <is>
          <t>BankIslami</t>
        </is>
      </c>
      <c r="B31" s="11" t="n">
        <v>2015</v>
      </c>
      <c r="C31" s="12" t="inlineStr">
        <is>
          <t>← Upload annual report</t>
        </is>
      </c>
      <c r="D31" s="12" t="inlineStr">
        <is>
          <t>← Upload annual report</t>
        </is>
      </c>
      <c r="E31" s="12" t="inlineStr">
        <is>
          <t>← Upload annual report</t>
        </is>
      </c>
      <c r="F31" s="12" t="inlineStr">
        <is>
          <t>← Upload annual report</t>
        </is>
      </c>
      <c r="G31" s="12" t="inlineStr">
        <is>
          <t>← Upload annual report</t>
        </is>
      </c>
      <c r="H31" s="12" t="inlineStr">
        <is>
          <t>← Upload annual report</t>
        </is>
      </c>
      <c r="I31" s="12" t="inlineStr">
        <is>
          <t>← Upload annual report</t>
        </is>
      </c>
      <c r="J31" s="12" t="inlineStr">
        <is>
          <t>← Upload annual report</t>
        </is>
      </c>
      <c r="K31" s="13" t="n">
        <v>4.07</v>
      </c>
      <c r="L31" s="7">
        <f>IF(AND(C31&lt;&gt;"",D31&lt;&gt;""),C31/D31*100,"")</f>
        <v/>
      </c>
      <c r="M31" s="7">
        <f>IF(AND(E31&lt;&gt;"",F31&lt;&gt;""),E31/F31*100,"")</f>
        <v/>
      </c>
      <c r="N31" s="7">
        <f>IF(AND(G31&lt;&gt;"",H31&lt;&gt;""),G31/H31*100,"")</f>
        <v/>
      </c>
      <c r="O31" s="7">
        <f>IF(AND(I31&lt;&gt;"",J31&lt;&gt;""),I31/J31*100,"")</f>
        <v/>
      </c>
    </row>
    <row r="32" ht="18" customHeight="1">
      <c r="A32" s="11" t="inlineStr">
        <is>
          <t>BankIslami</t>
        </is>
      </c>
      <c r="B32" s="11" t="n">
        <v>2014</v>
      </c>
      <c r="C32" s="12" t="inlineStr">
        <is>
          <t>← Upload annual report</t>
        </is>
      </c>
      <c r="D32" s="12" t="inlineStr">
        <is>
          <t>← Upload annual report</t>
        </is>
      </c>
      <c r="E32" s="12" t="inlineStr">
        <is>
          <t>← Upload annual report</t>
        </is>
      </c>
      <c r="F32" s="12" t="inlineStr">
        <is>
          <t>← Upload annual report</t>
        </is>
      </c>
      <c r="G32" s="12" t="inlineStr">
        <is>
          <t>← Upload annual report</t>
        </is>
      </c>
      <c r="H32" s="12" t="inlineStr">
        <is>
          <t>← Upload annual report</t>
        </is>
      </c>
      <c r="I32" s="12" t="inlineStr">
        <is>
          <t>← Upload annual report</t>
        </is>
      </c>
      <c r="J32" s="12" t="inlineStr">
        <is>
          <t>← Upload annual report</t>
        </is>
      </c>
      <c r="K32" s="13" t="n">
        <v>4.05</v>
      </c>
      <c r="L32" s="7">
        <f>IF(AND(C32&lt;&gt;"",D32&lt;&gt;""),C32/D32*100,"")</f>
        <v/>
      </c>
      <c r="M32" s="7">
        <f>IF(AND(E32&lt;&gt;"",F32&lt;&gt;""),E32/F32*100,"")</f>
        <v/>
      </c>
      <c r="N32" s="7">
        <f>IF(AND(G32&lt;&gt;"",H32&lt;&gt;""),G32/H32*100,"")</f>
        <v/>
      </c>
      <c r="O32" s="7">
        <f>IF(AND(I32&lt;&gt;"",J32&lt;&gt;""),I32/J32*100,"")</f>
        <v/>
      </c>
    </row>
    <row r="33" ht="18" customHeight="1">
      <c r="A33" s="11" t="inlineStr">
        <is>
          <t>BankIslami</t>
        </is>
      </c>
      <c r="B33" s="11" t="n">
        <v>2013</v>
      </c>
      <c r="C33" s="12" t="inlineStr">
        <is>
          <t>← Upload annual report</t>
        </is>
      </c>
      <c r="D33" s="12" t="inlineStr">
        <is>
          <t>← Upload annual report</t>
        </is>
      </c>
      <c r="E33" s="12" t="inlineStr">
        <is>
          <t>← Upload annual report</t>
        </is>
      </c>
      <c r="F33" s="12" t="inlineStr">
        <is>
          <t>← Upload annual report</t>
        </is>
      </c>
      <c r="G33" s="12" t="inlineStr">
        <is>
          <t>← Upload annual report</t>
        </is>
      </c>
      <c r="H33" s="12" t="inlineStr">
        <is>
          <t>← Upload annual report</t>
        </is>
      </c>
      <c r="I33" s="12" t="inlineStr">
        <is>
          <t>← Upload annual report</t>
        </is>
      </c>
      <c r="J33" s="12" t="inlineStr">
        <is>
          <t>← Upload annual report</t>
        </is>
      </c>
      <c r="K33" s="13" t="n">
        <v>3.66</v>
      </c>
      <c r="L33" s="7">
        <f>IF(AND(C33&lt;&gt;"",D33&lt;&gt;""),C33/D33*100,"")</f>
        <v/>
      </c>
      <c r="M33" s="7">
        <f>IF(AND(E33&lt;&gt;"",F33&lt;&gt;""),E33/F33*100,"")</f>
        <v/>
      </c>
      <c r="N33" s="7">
        <f>IF(AND(G33&lt;&gt;"",H33&lt;&gt;""),G33/H33*100,"")</f>
        <v/>
      </c>
      <c r="O33" s="7">
        <f>IF(AND(I33&lt;&gt;"",J33&lt;&gt;""),I33/J33*100,"")</f>
        <v/>
      </c>
    </row>
    <row r="34" ht="18" customHeight="1">
      <c r="A34" s="11" t="inlineStr">
        <is>
          <t>BankIslami</t>
        </is>
      </c>
      <c r="B34" s="11" t="n">
        <v>2012</v>
      </c>
      <c r="C34" s="12" t="inlineStr">
        <is>
          <t>← Upload annual report</t>
        </is>
      </c>
      <c r="D34" s="12" t="inlineStr">
        <is>
          <t>← Upload annual report</t>
        </is>
      </c>
      <c r="E34" s="12" t="inlineStr">
        <is>
          <t>← Upload annual report</t>
        </is>
      </c>
      <c r="F34" s="12" t="inlineStr">
        <is>
          <t>← Upload annual report</t>
        </is>
      </c>
      <c r="G34" s="12" t="inlineStr">
        <is>
          <t>← Upload annual report</t>
        </is>
      </c>
      <c r="H34" s="12" t="inlineStr">
        <is>
          <t>← Upload annual report</t>
        </is>
      </c>
      <c r="I34" s="12" t="inlineStr">
        <is>
          <t>← Upload annual report</t>
        </is>
      </c>
      <c r="J34" s="12" t="inlineStr">
        <is>
          <t>← Upload annual report</t>
        </is>
      </c>
      <c r="K34" s="13" t="n">
        <v>3.84</v>
      </c>
      <c r="L34" s="7">
        <f>IF(AND(C34&lt;&gt;"",D34&lt;&gt;""),C34/D34*100,"")</f>
        <v/>
      </c>
      <c r="M34" s="7">
        <f>IF(AND(E34&lt;&gt;"",F34&lt;&gt;""),E34/F34*100,"")</f>
        <v/>
      </c>
      <c r="N34" s="7">
        <f>IF(AND(G34&lt;&gt;"",H34&lt;&gt;""),G34/H34*100,"")</f>
        <v/>
      </c>
      <c r="O34" s="7">
        <f>IF(AND(I34&lt;&gt;"",J34&lt;&gt;""),I34/J34*100,"")</f>
        <v/>
      </c>
    </row>
    <row r="35" ht="18" customHeight="1">
      <c r="A35" s="11" t="inlineStr">
        <is>
          <t>BankIslami</t>
        </is>
      </c>
      <c r="B35" s="11" t="n">
        <v>2011</v>
      </c>
      <c r="C35" s="12" t="inlineStr">
        <is>
          <t>← Upload annual report</t>
        </is>
      </c>
      <c r="D35" s="12" t="inlineStr">
        <is>
          <t>← Upload annual report</t>
        </is>
      </c>
      <c r="E35" s="12" t="inlineStr">
        <is>
          <t>← Upload annual report</t>
        </is>
      </c>
      <c r="F35" s="12" t="inlineStr">
        <is>
          <t>← Upload annual report</t>
        </is>
      </c>
      <c r="G35" s="12" t="inlineStr">
        <is>
          <t>← Upload annual report</t>
        </is>
      </c>
      <c r="H35" s="12" t="inlineStr">
        <is>
          <t>← Upload annual report</t>
        </is>
      </c>
      <c r="I35" s="12" t="inlineStr">
        <is>
          <t>← Upload annual report</t>
        </is>
      </c>
      <c r="J35" s="12" t="inlineStr">
        <is>
          <t>← Upload annual report</t>
        </is>
      </c>
      <c r="K35" s="13" t="n">
        <v>2.82</v>
      </c>
      <c r="L35" s="7">
        <f>IF(AND(C35&lt;&gt;"",D35&lt;&gt;""),C35/D35*100,"")</f>
        <v/>
      </c>
      <c r="M35" s="7">
        <f>IF(AND(E35&lt;&gt;"",F35&lt;&gt;""),E35/F35*100,"")</f>
        <v/>
      </c>
      <c r="N35" s="7">
        <f>IF(AND(G35&lt;&gt;"",H35&lt;&gt;""),G35/H35*100,"")</f>
        <v/>
      </c>
      <c r="O35" s="7">
        <f>IF(AND(I35&lt;&gt;"",J35&lt;&gt;""),I35/J35*100,"")</f>
        <v/>
      </c>
    </row>
    <row r="36" ht="18" customHeight="1">
      <c r="A36" s="11" t="inlineStr">
        <is>
          <t>BankIslami</t>
        </is>
      </c>
      <c r="B36" s="11" t="n">
        <v>2010</v>
      </c>
      <c r="C36" s="12" t="inlineStr">
        <is>
          <t>← Upload annual report</t>
        </is>
      </c>
      <c r="D36" s="12" t="inlineStr">
        <is>
          <t>← Upload annual report</t>
        </is>
      </c>
      <c r="E36" s="12" t="inlineStr">
        <is>
          <t>← Upload annual report</t>
        </is>
      </c>
      <c r="F36" s="12" t="inlineStr">
        <is>
          <t>← Upload annual report</t>
        </is>
      </c>
      <c r="G36" s="12" t="inlineStr">
        <is>
          <t>← Upload annual report</t>
        </is>
      </c>
      <c r="H36" s="12" t="inlineStr">
        <is>
          <t>← Upload annual report</t>
        </is>
      </c>
      <c r="I36" s="12" t="inlineStr">
        <is>
          <t>← Upload annual report</t>
        </is>
      </c>
      <c r="J36" s="12" t="inlineStr">
        <is>
          <t>← Upload annual report</t>
        </is>
      </c>
      <c r="K36" s="13" t="n">
        <v>2.58</v>
      </c>
      <c r="L36" s="7">
        <f>IF(AND(C36&lt;&gt;"",D36&lt;&gt;""),C36/D36*100,"")</f>
        <v/>
      </c>
      <c r="M36" s="7">
        <f>IF(AND(E36&lt;&gt;"",F36&lt;&gt;""),E36/F36*100,"")</f>
        <v/>
      </c>
      <c r="N36" s="7">
        <f>IF(AND(G36&lt;&gt;"",H36&lt;&gt;""),G36/H36*100,"")</f>
        <v/>
      </c>
      <c r="O36" s="7">
        <f>IF(AND(I36&lt;&gt;"",J36&lt;&gt;""),I36/J36*100,"")</f>
        <v/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2026-03-10T07:21:54Z</dcterms:created>
  <dcterms:modified xmlns:dcterms="http://purl.org/dc/terms/" xmlns:xsi="http://www.w3.org/2001/XMLSchema-instance" xsi:type="dcterms:W3CDTF">2026-03-10T07:21:54Z</dcterms:modified>
</cp:coreProperties>
</file>